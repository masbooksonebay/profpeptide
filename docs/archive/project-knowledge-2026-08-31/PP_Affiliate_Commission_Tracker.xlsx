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Transactions" sheetId="2" state="visible" r:id="rId4"/>
  </sheets>
  <definedNames>
    <definedName function="false" hidden="true" localSheetId="1" name="_xlnm._FilterDatabase" vbProcedure="false">Transactions!$A$4:$G$46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<sst xmlns="http://schemas.openxmlformats.org/spreadsheetml/2006/main" count="141" uniqueCount="57">
  <si>
    <t xml:space="preserve">Prof. Peptide Affiliate Commission Tracker</t>
  </si>
  <si>
    <t xml:space="preserve">Compiled from Gmail commission notifications | Last updated: 2026-05-18</t>
  </si>
  <si>
    <t xml:space="preserve">Vendor</t>
  </si>
  <si>
    <t xml:space="preserve">Orders / Referrals</t>
  </si>
  <si>
    <t xml:space="preserve">Total Sales</t>
  </si>
  <si>
    <t xml:space="preserve">Total Commissions</t>
  </si>
  <si>
    <t xml:space="preserve">Avg Commission</t>
  </si>
  <si>
    <t xml:space="preserve">Notes</t>
  </si>
  <si>
    <t xml:space="preserve">Peptide Partners</t>
  </si>
  <si>
    <t xml:space="preserve">Commission-only data in emails. Sales amounts not in PP notification emails. Mark notes additional historical commissions visible in PP affiliate dashboard.</t>
  </si>
  <si>
    <t xml:space="preserve">Ascension Peptides</t>
  </si>
  <si>
    <t xml:space="preserve">Commission-only data in emails. Sale amounts not in notification emails.</t>
  </si>
  <si>
    <t xml:space="preserve">EZ Peptides</t>
  </si>
  <si>
    <t xml:space="preserve">Full data: sales + commissions visible in notifications.</t>
  </si>
  <si>
    <t xml:space="preserve">Royal Peptides</t>
  </si>
  <si>
    <t xml:space="preserve">Some referrals marked as refunded/unpaid (commission reverted to $0 after initial credit).</t>
  </si>
  <si>
    <t xml:space="preserve">Vital Core Research</t>
  </si>
  <si>
    <t xml:space="preserve">Full data. Activity resumed mid-May after account reinstated.</t>
  </si>
  <si>
    <t xml:space="preserve">Oasis Labs</t>
  </si>
  <si>
    <t xml:space="preserve">Full data. Store credit payout model with $100 min threshold.</t>
  </si>
  <si>
    <t xml:space="preserve">Integrative Peptides</t>
  </si>
  <si>
    <t xml:space="preserve">Commission paid as store credit on monthly cycle (15th to 14th).</t>
  </si>
  <si>
    <t xml:space="preserve">OVERALL TOTALS</t>
  </si>
  <si>
    <t xml:space="preserve">Data Source Note:</t>
  </si>
  <si>
    <t xml:space="preserve">Data compiled from Gmail commission notification emails. Some vendors (Peptide Partners, Ascension) send commission amounts only without sale totals. Affiliate dashboards on vendor sites may show additional historical commissions not yet reflected in email notifications — Peptide Partners in particular has substantial additional commission history visible in the dashboard. Royal Peptides "Refunded/Unpaid" entries represent referral orders where the commission was initially credited but later reverted to $0 by the vendor.</t>
  </si>
  <si>
    <t xml:space="preserve">All Referral Transactions (Detail)</t>
  </si>
  <si>
    <t xml:space="preserve">Compiled from Gmail commission notification emails | Sorted by date (newest first)</t>
  </si>
  <si>
    <t xml:space="preserve">Date</t>
  </si>
  <si>
    <t xml:space="preserve">Order #</t>
  </si>
  <si>
    <t xml:space="preserve">Sale Amount</t>
  </si>
  <si>
    <t xml:space="preserve">Commission</t>
  </si>
  <si>
    <t xml:space="preserve">Status</t>
  </si>
  <si>
    <t xml:space="preserve">32791</t>
  </si>
  <si>
    <t xml:space="preserve">Active</t>
  </si>
  <si>
    <t xml:space="preserve">32790</t>
  </si>
  <si>
    <t xml:space="preserve">32789</t>
  </si>
  <si>
    <t xml:space="preserve">41503</t>
  </si>
  <si>
    <t xml:space="preserve">100877</t>
  </si>
  <si>
    <t xml:space="preserve">100801</t>
  </si>
  <si>
    <t xml:space="preserve">32748</t>
  </si>
  <si>
    <t xml:space="preserve">99862</t>
  </si>
  <si>
    <t xml:space="preserve">99788</t>
  </si>
  <si>
    <t xml:space="preserve">40787</t>
  </si>
  <si>
    <t xml:space="preserve">Refunded/Unpaid</t>
  </si>
  <si>
    <t xml:space="preserve">Initial $5.85 → updated to $0</t>
  </si>
  <si>
    <t xml:space="preserve">Zero/refunded</t>
  </si>
  <si>
    <t xml:space="preserve">98307</t>
  </si>
  <si>
    <t xml:space="preserve">33188</t>
  </si>
  <si>
    <t xml:space="preserve">33187</t>
  </si>
  <si>
    <t xml:space="preserve">Initial $11.70 → updated to $0</t>
  </si>
  <si>
    <t xml:space="preserve">33186</t>
  </si>
  <si>
    <t xml:space="preserve">33185</t>
  </si>
  <si>
    <t xml:space="preserve">Active (store credit)</t>
  </si>
  <si>
    <t xml:space="preserve">21051</t>
  </si>
  <si>
    <t xml:space="preserve">Initial $18.90 → updated to $0</t>
  </si>
  <si>
    <t xml:space="preserve">TOTAL</t>
  </si>
  <si>
    <t xml:space="preserve">42 transactions</t>
  </si>
</sst>
</file>

<file path=xl/styles.xml><?xml version="1.0" encoding="utf-8"?>
<styleSheet xmlns="http://schemas.openxmlformats.org/spreadsheetml/2006/main">
  <numFmts count="4">
    <numFmt numFmtId="164" formatCode="General"/>
    <numFmt numFmtId="165" formatCode="General"/>
    <numFmt numFmtId="166" formatCode="\$#,##0.00;&quot;($&quot;#,##0.00\);\-"/>
    <numFmt numFmtId="167" formatCode="yyyy\-mm\-dd"/>
  </numFmts>
  <fonts count="9">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i val="true"/>
      <sz val="9"/>
      <color rgb="FF666666"/>
      <name val="Arial"/>
      <family val="0"/>
      <charset val="1"/>
    </font>
    <font>
      <b val="true"/>
      <sz val="11"/>
      <color rgb="FFFFFFFF"/>
      <name val="Arial"/>
      <family val="0"/>
      <charset val="1"/>
    </font>
    <font>
      <sz val="10"/>
      <color rgb="FF000000"/>
      <name val="Arial"/>
      <family val="0"/>
      <charset val="1"/>
    </font>
    <font>
      <b val="true"/>
      <sz val="11"/>
      <color rgb="FF000000"/>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D9E2F3"/>
        <bgColor rgb="FFCCFFFF"/>
      </patternFill>
    </fill>
    <fill>
      <patternFill patternType="solid">
        <fgColor rgb="FFFFF2CC"/>
        <bgColor rgb="FFFFFFFF"/>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5" fontId="8" fillId="3" borderId="1" xfId="0" applyFont="true" applyBorder="true" applyAlignment="true" applyProtection="false">
      <alignment horizontal="center" vertical="center" textRotation="0" wrapText="false" indent="0" shrinkToFit="false"/>
      <protection locked="true" hidden="false"/>
    </xf>
    <xf numFmtId="166" fontId="8" fillId="3" borderId="1" xfId="0" applyFont="true" applyBorder="true" applyAlignment="true" applyProtection="false">
      <alignment horizontal="right"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5" fillId="4" borderId="0" xfId="0" applyFont="true" applyBorder="true" applyAlignment="true" applyProtection="false">
      <alignment horizontal="left" vertical="center" textRotation="0" wrapText="tru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right" vertical="center"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66666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8"/>
    <col collapsed="false" customWidth="true" hidden="false" outlineLevel="0" max="3" min="3" style="0" width="16"/>
    <col collapsed="false" customWidth="true" hidden="false" outlineLevel="0" max="4" min="4" style="0" width="18"/>
    <col collapsed="false" customWidth="true" hidden="false" outlineLevel="0" max="5" min="5" style="0" width="16"/>
    <col collapsed="false" customWidth="true" hidden="false" outlineLevel="0" max="6" min="6" style="0" width="55"/>
  </cols>
  <sheetData>
    <row r="1" customFormat="false" ht="25.5" hidden="false" customHeight="true" outlineLevel="0" collapsed="false">
      <c r="A1" s="1" t="s">
        <v>0</v>
      </c>
      <c r="B1" s="1"/>
      <c r="C1" s="1"/>
      <c r="D1" s="1"/>
      <c r="E1" s="1"/>
      <c r="F1" s="1"/>
    </row>
    <row r="2" customFormat="false" ht="15" hidden="false" customHeight="false" outlineLevel="0" collapsed="false">
      <c r="A2" s="2" t="s">
        <v>1</v>
      </c>
      <c r="B2" s="2"/>
      <c r="C2" s="2"/>
      <c r="D2" s="2"/>
      <c r="E2" s="2"/>
      <c r="F2" s="2"/>
    </row>
    <row r="4" customFormat="false" ht="21.75" hidden="false" customHeight="true" outlineLevel="0" collapsed="false">
      <c r="A4" s="3" t="s">
        <v>2</v>
      </c>
      <c r="B4" s="3" t="s">
        <v>3</v>
      </c>
      <c r="C4" s="3" t="s">
        <v>4</v>
      </c>
      <c r="D4" s="3" t="s">
        <v>5</v>
      </c>
      <c r="E4" s="3" t="s">
        <v>6</v>
      </c>
      <c r="F4" s="3" t="s">
        <v>7</v>
      </c>
    </row>
    <row r="5" customFormat="false" ht="21.75" hidden="false" customHeight="true" outlineLevel="0" collapsed="false">
      <c r="A5" s="4" t="s">
        <v>8</v>
      </c>
      <c r="B5" s="5" t="n">
        <f aca="false">COUNTIF(Transactions!B:B,A5)</f>
        <v>12</v>
      </c>
      <c r="C5" s="6" t="n">
        <f aca="false">SUMIF(Transactions!B:B,A5,Transactions!D:D)</f>
        <v>0</v>
      </c>
      <c r="D5" s="6" t="n">
        <f aca="false">SUMIF(Transactions!B:B,A5,Transactions!E:E)</f>
        <v>426.06</v>
      </c>
      <c r="E5" s="6" t="n">
        <f aca="false">IFERROR(D5/B5,0)</f>
        <v>35.505</v>
      </c>
      <c r="F5" s="7" t="s">
        <v>9</v>
      </c>
    </row>
    <row r="6" customFormat="false" ht="21.75" hidden="false" customHeight="true" outlineLevel="0" collapsed="false">
      <c r="A6" s="4" t="s">
        <v>10</v>
      </c>
      <c r="B6" s="5" t="n">
        <f aca="false">COUNTIF(Transactions!B:B,A6)</f>
        <v>7</v>
      </c>
      <c r="C6" s="6" t="n">
        <f aca="false">SUMIF(Transactions!B:B,A6,Transactions!D:D)</f>
        <v>0</v>
      </c>
      <c r="D6" s="6" t="n">
        <f aca="false">SUMIF(Transactions!B:B,A6,Transactions!E:E)</f>
        <v>205.98</v>
      </c>
      <c r="E6" s="6" t="n">
        <f aca="false">IFERROR(D6/B6,0)</f>
        <v>29.4257142857143</v>
      </c>
      <c r="F6" s="7" t="s">
        <v>11</v>
      </c>
    </row>
    <row r="7" customFormat="false" ht="21.75" hidden="false" customHeight="true" outlineLevel="0" collapsed="false">
      <c r="A7" s="4" t="s">
        <v>12</v>
      </c>
      <c r="B7" s="5" t="n">
        <f aca="false">COUNTIF(Transactions!B:B,A7)</f>
        <v>5</v>
      </c>
      <c r="C7" s="6" t="n">
        <f aca="false">SUMIF(Transactions!B:B,A7,Transactions!D:D)</f>
        <v>1762.8</v>
      </c>
      <c r="D7" s="6" t="n">
        <f aca="false">SUMIF(Transactions!B:B,A7,Transactions!E:E)</f>
        <v>170.28</v>
      </c>
      <c r="E7" s="6" t="n">
        <f aca="false">IFERROR(D7/B7,0)</f>
        <v>34.056</v>
      </c>
      <c r="F7" s="7" t="s">
        <v>13</v>
      </c>
    </row>
    <row r="8" customFormat="false" ht="21.75" hidden="false" customHeight="true" outlineLevel="0" collapsed="false">
      <c r="A8" s="4" t="s">
        <v>14</v>
      </c>
      <c r="B8" s="5" t="n">
        <f aca="false">COUNTIF(Transactions!B:B,A8)</f>
        <v>7</v>
      </c>
      <c r="C8" s="6" t="n">
        <f aca="false">SUMIF(Transactions!B:B,A8,Transactions!D:D)</f>
        <v>1547.28</v>
      </c>
      <c r="D8" s="6" t="n">
        <f aca="false">SUMIF(Transactions!B:B,A8,Transactions!E:E)</f>
        <v>82.35</v>
      </c>
      <c r="E8" s="6" t="n">
        <f aca="false">IFERROR(D8/B8,0)</f>
        <v>11.7642857142857</v>
      </c>
      <c r="F8" s="7" t="s">
        <v>15</v>
      </c>
    </row>
    <row r="9" customFormat="false" ht="21.75" hidden="false" customHeight="true" outlineLevel="0" collapsed="false">
      <c r="A9" s="4" t="s">
        <v>16</v>
      </c>
      <c r="B9" s="5" t="n">
        <f aca="false">COUNTIF(Transactions!B:B,A9)</f>
        <v>4</v>
      </c>
      <c r="C9" s="6" t="n">
        <f aca="false">SUMIF(Transactions!B:B,A9,Transactions!D:D)</f>
        <v>528.33</v>
      </c>
      <c r="D9" s="6" t="n">
        <f aca="false">SUMIF(Transactions!B:B,A9,Transactions!E:E)</f>
        <v>97.89</v>
      </c>
      <c r="E9" s="6" t="n">
        <f aca="false">IFERROR(D9/B9,0)</f>
        <v>24.4725</v>
      </c>
      <c r="F9" s="7" t="s">
        <v>17</v>
      </c>
    </row>
    <row r="10" customFormat="false" ht="21.75" hidden="false" customHeight="true" outlineLevel="0" collapsed="false">
      <c r="A10" s="4" t="s">
        <v>18</v>
      </c>
      <c r="B10" s="5" t="n">
        <f aca="false">COUNTIF(Transactions!B:B,A10)</f>
        <v>5</v>
      </c>
      <c r="C10" s="6" t="n">
        <f aca="false">SUMIF(Transactions!B:B,A10,Transactions!D:D)</f>
        <v>759.85</v>
      </c>
      <c r="D10" s="6" t="n">
        <f aca="false">SUMIF(Transactions!B:B,A10,Transactions!E:E)</f>
        <v>68.66</v>
      </c>
      <c r="E10" s="6" t="n">
        <f aca="false">IFERROR(D10/B10,0)</f>
        <v>13.732</v>
      </c>
      <c r="F10" s="7" t="s">
        <v>19</v>
      </c>
    </row>
    <row r="11" customFormat="false" ht="21.75" hidden="false" customHeight="true" outlineLevel="0" collapsed="false">
      <c r="A11" s="4" t="s">
        <v>20</v>
      </c>
      <c r="B11" s="5" t="n">
        <f aca="false">COUNTIF(Transactions!B:B,A11)</f>
        <v>2</v>
      </c>
      <c r="C11" s="6" t="n">
        <f aca="false">SUMIF(Transactions!B:B,A11,Transactions!D:D)</f>
        <v>0</v>
      </c>
      <c r="D11" s="6" t="n">
        <f aca="false">SUMIF(Transactions!B:B,A11,Transactions!E:E)</f>
        <v>44.7</v>
      </c>
      <c r="E11" s="6" t="n">
        <f aca="false">IFERROR(D11/B11,0)</f>
        <v>22.35</v>
      </c>
      <c r="F11" s="7" t="s">
        <v>21</v>
      </c>
    </row>
    <row r="12" customFormat="false" ht="21.75" hidden="false" customHeight="true" outlineLevel="0" collapsed="false">
      <c r="A12" s="8" t="s">
        <v>22</v>
      </c>
      <c r="B12" s="9" t="n">
        <f aca="false">SUM(B5:B11)</f>
        <v>42</v>
      </c>
      <c r="C12" s="10" t="n">
        <f aca="false">SUM(C5:C11)</f>
        <v>4598.26</v>
      </c>
      <c r="D12" s="10" t="n">
        <f aca="false">SUM(D5:D11)</f>
        <v>1095.92</v>
      </c>
      <c r="E12" s="10" t="n">
        <f aca="false">IFERROR(D12/B12,0)</f>
        <v>26.0933333333333</v>
      </c>
    </row>
    <row r="14" customFormat="false" ht="15" hidden="false" customHeight="true" outlineLevel="0" collapsed="false">
      <c r="A14" s="11" t="s">
        <v>23</v>
      </c>
      <c r="B14" s="11"/>
      <c r="C14" s="11"/>
      <c r="D14" s="11"/>
      <c r="E14" s="11"/>
      <c r="F14" s="11"/>
    </row>
    <row r="15" customFormat="false" ht="15" hidden="false" customHeight="true" outlineLevel="0" collapsed="false">
      <c r="A15" s="12" t="s">
        <v>24</v>
      </c>
      <c r="B15" s="12"/>
      <c r="C15" s="12"/>
      <c r="D15" s="12"/>
      <c r="E15" s="12"/>
      <c r="F15" s="12"/>
    </row>
    <row r="16" customFormat="false" ht="15" hidden="false" customHeight="false" outlineLevel="0" collapsed="false">
      <c r="A16" s="12"/>
      <c r="B16" s="12"/>
      <c r="C16" s="12"/>
      <c r="D16" s="12"/>
      <c r="E16" s="12"/>
      <c r="F16" s="12"/>
    </row>
    <row r="17" customFormat="false" ht="15" hidden="false" customHeight="false" outlineLevel="0" collapsed="false">
      <c r="A17" s="12"/>
      <c r="B17" s="12"/>
      <c r="C17" s="12"/>
      <c r="D17" s="12"/>
      <c r="E17" s="12"/>
      <c r="F17" s="12"/>
    </row>
  </sheetData>
  <mergeCells count="4">
    <mergeCell ref="A1:F1"/>
    <mergeCell ref="A2:F2"/>
    <mergeCell ref="A14:F14"/>
    <mergeCell ref="A15: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2"/>
    <col collapsed="false" customWidth="true" hidden="false" outlineLevel="0" max="3" min="3" style="0" width="11"/>
    <col collapsed="false" customWidth="true" hidden="false" outlineLevel="0" max="5" min="4" style="0" width="14"/>
    <col collapsed="false" customWidth="true" hidden="false" outlineLevel="0" max="6" min="6" style="0" width="20"/>
    <col collapsed="false" customWidth="true" hidden="false" outlineLevel="0" max="7" min="7" style="0" width="40"/>
  </cols>
  <sheetData>
    <row r="1" customFormat="false" ht="25.5" hidden="false" customHeight="true" outlineLevel="0" collapsed="false">
      <c r="A1" s="1" t="s">
        <v>25</v>
      </c>
      <c r="B1" s="1"/>
      <c r="C1" s="1"/>
      <c r="D1" s="1"/>
      <c r="E1" s="1"/>
      <c r="F1" s="1"/>
      <c r="G1" s="1"/>
    </row>
    <row r="2" customFormat="false" ht="15" hidden="false" customHeight="false" outlineLevel="0" collapsed="false">
      <c r="A2" s="2" t="s">
        <v>26</v>
      </c>
      <c r="B2" s="2"/>
      <c r="C2" s="2"/>
      <c r="D2" s="2"/>
      <c r="E2" s="2"/>
      <c r="F2" s="2"/>
      <c r="G2" s="2"/>
    </row>
    <row r="4" customFormat="false" ht="18" hidden="false" customHeight="true" outlineLevel="0" collapsed="false">
      <c r="A4" s="3" t="s">
        <v>27</v>
      </c>
      <c r="B4" s="3" t="s">
        <v>2</v>
      </c>
      <c r="C4" s="3" t="s">
        <v>28</v>
      </c>
      <c r="D4" s="3" t="s">
        <v>29</v>
      </c>
      <c r="E4" s="3" t="s">
        <v>30</v>
      </c>
      <c r="F4" s="3" t="s">
        <v>31</v>
      </c>
      <c r="G4" s="3" t="s">
        <v>7</v>
      </c>
    </row>
    <row r="5" customFormat="false" ht="18" hidden="false" customHeight="true" outlineLevel="0" collapsed="false">
      <c r="A5" s="13" t="n">
        <v>46160</v>
      </c>
      <c r="B5" s="4" t="s">
        <v>16</v>
      </c>
      <c r="C5" s="5" t="s">
        <v>32</v>
      </c>
      <c r="D5" s="6" t="n">
        <v>84.93</v>
      </c>
      <c r="E5" s="6" t="n">
        <v>14.4</v>
      </c>
      <c r="F5" s="5" t="s">
        <v>33</v>
      </c>
      <c r="G5" s="7"/>
    </row>
    <row r="6" customFormat="false" ht="18" hidden="false" customHeight="true" outlineLevel="0" collapsed="false">
      <c r="A6" s="13" t="n">
        <v>46160</v>
      </c>
      <c r="B6" s="4" t="s">
        <v>16</v>
      </c>
      <c r="C6" s="5" t="s">
        <v>34</v>
      </c>
      <c r="D6" s="6" t="n">
        <v>92.92</v>
      </c>
      <c r="E6" s="6" t="n">
        <v>15.99</v>
      </c>
      <c r="F6" s="5" t="s">
        <v>33</v>
      </c>
      <c r="G6" s="7"/>
    </row>
    <row r="7" customFormat="false" ht="18" hidden="false" customHeight="true" outlineLevel="0" collapsed="false">
      <c r="A7" s="13" t="n">
        <v>46160</v>
      </c>
      <c r="B7" s="4" t="s">
        <v>16</v>
      </c>
      <c r="C7" s="5" t="s">
        <v>35</v>
      </c>
      <c r="D7" s="6" t="n">
        <v>44.92</v>
      </c>
      <c r="E7" s="6" t="n">
        <v>6.39</v>
      </c>
      <c r="F7" s="5" t="s">
        <v>33</v>
      </c>
      <c r="G7" s="7"/>
    </row>
    <row r="8" customFormat="false" ht="18" hidden="false" customHeight="true" outlineLevel="0" collapsed="false">
      <c r="A8" s="13" t="n">
        <v>46160</v>
      </c>
      <c r="B8" s="4" t="s">
        <v>14</v>
      </c>
      <c r="C8" s="5" t="s">
        <v>36</v>
      </c>
      <c r="D8" s="6" t="n">
        <v>731.5</v>
      </c>
      <c r="E8" s="6" t="n">
        <v>70.65</v>
      </c>
      <c r="F8" s="5" t="s">
        <v>33</v>
      </c>
      <c r="G8" s="7"/>
    </row>
    <row r="9" customFormat="false" ht="18" hidden="false" customHeight="true" outlineLevel="0" collapsed="false">
      <c r="A9" s="13" t="n">
        <v>46159</v>
      </c>
      <c r="B9" s="4" t="s">
        <v>8</v>
      </c>
      <c r="C9" s="5"/>
      <c r="D9" s="14"/>
      <c r="E9" s="6" t="n">
        <v>68.4</v>
      </c>
      <c r="F9" s="5" t="s">
        <v>33</v>
      </c>
      <c r="G9" s="7"/>
    </row>
    <row r="10" customFormat="false" ht="18" hidden="false" customHeight="true" outlineLevel="0" collapsed="false">
      <c r="A10" s="13" t="n">
        <v>46159</v>
      </c>
      <c r="B10" s="4" t="s">
        <v>10</v>
      </c>
      <c r="C10" s="5"/>
      <c r="D10" s="14"/>
      <c r="E10" s="6" t="n">
        <v>46.5</v>
      </c>
      <c r="F10" s="5" t="s">
        <v>33</v>
      </c>
      <c r="G10" s="7"/>
    </row>
    <row r="11" customFormat="false" ht="18" hidden="false" customHeight="true" outlineLevel="0" collapsed="false">
      <c r="A11" s="13" t="n">
        <v>46159</v>
      </c>
      <c r="B11" s="4" t="s">
        <v>10</v>
      </c>
      <c r="C11" s="5"/>
      <c r="D11" s="14"/>
      <c r="E11" s="6" t="n">
        <v>18.37</v>
      </c>
      <c r="F11" s="5" t="s">
        <v>33</v>
      </c>
      <c r="G11" s="7"/>
    </row>
    <row r="12" customFormat="false" ht="18" hidden="false" customHeight="true" outlineLevel="0" collapsed="false">
      <c r="A12" s="13" t="n">
        <v>46159</v>
      </c>
      <c r="B12" s="4" t="s">
        <v>10</v>
      </c>
      <c r="C12" s="5"/>
      <c r="D12" s="14"/>
      <c r="E12" s="6" t="n">
        <v>11.9</v>
      </c>
      <c r="F12" s="5" t="s">
        <v>33</v>
      </c>
      <c r="G12" s="7"/>
    </row>
    <row r="13" customFormat="false" ht="18" hidden="false" customHeight="true" outlineLevel="0" collapsed="false">
      <c r="A13" s="13" t="n">
        <v>46158</v>
      </c>
      <c r="B13" s="4" t="s">
        <v>8</v>
      </c>
      <c r="C13" s="5"/>
      <c r="D13" s="14"/>
      <c r="E13" s="6" t="n">
        <v>110.07</v>
      </c>
      <c r="F13" s="5" t="s">
        <v>33</v>
      </c>
      <c r="G13" s="7"/>
    </row>
    <row r="14" customFormat="false" ht="18" hidden="false" customHeight="true" outlineLevel="0" collapsed="false">
      <c r="A14" s="13" t="n">
        <v>46158</v>
      </c>
      <c r="B14" s="4" t="s">
        <v>8</v>
      </c>
      <c r="C14" s="5"/>
      <c r="D14" s="14"/>
      <c r="E14" s="6" t="n">
        <v>40.5</v>
      </c>
      <c r="F14" s="5" t="s">
        <v>33</v>
      </c>
      <c r="G14" s="7"/>
    </row>
    <row r="15" customFormat="false" ht="18" hidden="false" customHeight="true" outlineLevel="0" collapsed="false">
      <c r="A15" s="13" t="n">
        <v>46158</v>
      </c>
      <c r="B15" s="4" t="s">
        <v>8</v>
      </c>
      <c r="C15" s="5"/>
      <c r="D15" s="14"/>
      <c r="E15" s="6" t="n">
        <v>21.96</v>
      </c>
      <c r="F15" s="5" t="s">
        <v>33</v>
      </c>
      <c r="G15" s="7"/>
    </row>
    <row r="16" customFormat="false" ht="18" hidden="false" customHeight="true" outlineLevel="0" collapsed="false">
      <c r="A16" s="13" t="n">
        <v>46158</v>
      </c>
      <c r="B16" s="4" t="s">
        <v>12</v>
      </c>
      <c r="C16" s="5" t="s">
        <v>37</v>
      </c>
      <c r="D16" s="6" t="n">
        <v>102.7</v>
      </c>
      <c r="E16" s="6" t="n">
        <v>9.27</v>
      </c>
      <c r="F16" s="5" t="s">
        <v>33</v>
      </c>
      <c r="G16" s="7"/>
    </row>
    <row r="17" customFormat="false" ht="18" hidden="false" customHeight="true" outlineLevel="0" collapsed="false">
      <c r="A17" s="13" t="n">
        <v>46158</v>
      </c>
      <c r="B17" s="4" t="s">
        <v>12</v>
      </c>
      <c r="C17" s="5" t="s">
        <v>38</v>
      </c>
      <c r="D17" s="6" t="n">
        <v>216.9</v>
      </c>
      <c r="E17" s="6" t="n">
        <v>21.69</v>
      </c>
      <c r="F17" s="5" t="s">
        <v>33</v>
      </c>
      <c r="G17" s="7"/>
    </row>
    <row r="18" customFormat="false" ht="18" hidden="false" customHeight="true" outlineLevel="0" collapsed="false">
      <c r="A18" s="13" t="n">
        <v>46158</v>
      </c>
      <c r="B18" s="4" t="s">
        <v>10</v>
      </c>
      <c r="C18" s="5"/>
      <c r="D18" s="14"/>
      <c r="E18" s="6" t="n">
        <v>76.55</v>
      </c>
      <c r="F18" s="5" t="s">
        <v>33</v>
      </c>
      <c r="G18" s="7"/>
    </row>
    <row r="19" customFormat="false" ht="18" hidden="false" customHeight="true" outlineLevel="0" collapsed="false">
      <c r="A19" s="13" t="n">
        <v>46158</v>
      </c>
      <c r="B19" s="4" t="s">
        <v>10</v>
      </c>
      <c r="C19" s="5"/>
      <c r="D19" s="14"/>
      <c r="E19" s="6" t="n">
        <v>10.8</v>
      </c>
      <c r="F19" s="5" t="s">
        <v>33</v>
      </c>
      <c r="G19" s="7"/>
    </row>
    <row r="20" customFormat="false" ht="18" hidden="false" customHeight="true" outlineLevel="0" collapsed="false">
      <c r="A20" s="13" t="n">
        <v>46157</v>
      </c>
      <c r="B20" s="4" t="s">
        <v>8</v>
      </c>
      <c r="C20" s="5"/>
      <c r="D20" s="14"/>
      <c r="E20" s="6" t="n">
        <v>24.57</v>
      </c>
      <c r="F20" s="5" t="s">
        <v>33</v>
      </c>
      <c r="G20" s="7"/>
    </row>
    <row r="21" customFormat="false" ht="18" hidden="false" customHeight="true" outlineLevel="0" collapsed="false">
      <c r="A21" s="13" t="n">
        <v>46156</v>
      </c>
      <c r="B21" s="4" t="s">
        <v>16</v>
      </c>
      <c r="C21" s="5" t="s">
        <v>39</v>
      </c>
      <c r="D21" s="6" t="n">
        <v>305.56</v>
      </c>
      <c r="E21" s="6" t="n">
        <v>61.11</v>
      </c>
      <c r="F21" s="5" t="s">
        <v>33</v>
      </c>
      <c r="G21" s="7"/>
    </row>
    <row r="22" customFormat="false" ht="18" hidden="false" customHeight="true" outlineLevel="0" collapsed="false">
      <c r="A22" s="13" t="n">
        <v>46156</v>
      </c>
      <c r="B22" s="4" t="s">
        <v>8</v>
      </c>
      <c r="C22" s="5"/>
      <c r="D22" s="14"/>
      <c r="E22" s="6" t="n">
        <v>54.9</v>
      </c>
      <c r="F22" s="5" t="s">
        <v>33</v>
      </c>
      <c r="G22" s="7"/>
    </row>
    <row r="23" customFormat="false" ht="18" hidden="false" customHeight="true" outlineLevel="0" collapsed="false">
      <c r="A23" s="13" t="n">
        <v>46156</v>
      </c>
      <c r="B23" s="4" t="s">
        <v>8</v>
      </c>
      <c r="C23" s="5"/>
      <c r="D23" s="14"/>
      <c r="E23" s="6" t="n">
        <v>24.57</v>
      </c>
      <c r="F23" s="5" t="s">
        <v>33</v>
      </c>
      <c r="G23" s="7"/>
    </row>
    <row r="24" customFormat="false" ht="18" hidden="false" customHeight="true" outlineLevel="0" collapsed="false">
      <c r="A24" s="13" t="n">
        <v>46156</v>
      </c>
      <c r="B24" s="4" t="s">
        <v>10</v>
      </c>
      <c r="C24" s="5"/>
      <c r="D24" s="14"/>
      <c r="E24" s="6" t="n">
        <v>14.55</v>
      </c>
      <c r="F24" s="5" t="s">
        <v>33</v>
      </c>
      <c r="G24" s="7"/>
    </row>
    <row r="25" customFormat="false" ht="18" hidden="false" customHeight="true" outlineLevel="0" collapsed="false">
      <c r="A25" s="13" t="n">
        <v>46155</v>
      </c>
      <c r="B25" s="4" t="s">
        <v>8</v>
      </c>
      <c r="C25" s="5"/>
      <c r="D25" s="14"/>
      <c r="E25" s="6" t="n">
        <v>25.2</v>
      </c>
      <c r="F25" s="5" t="s">
        <v>33</v>
      </c>
      <c r="G25" s="7"/>
    </row>
    <row r="26" customFormat="false" ht="18" hidden="false" customHeight="true" outlineLevel="0" collapsed="false">
      <c r="A26" s="13" t="n">
        <v>46155</v>
      </c>
      <c r="B26" s="4" t="s">
        <v>12</v>
      </c>
      <c r="C26" s="5" t="s">
        <v>40</v>
      </c>
      <c r="D26" s="6" t="n">
        <v>700</v>
      </c>
      <c r="E26" s="6" t="n">
        <v>66</v>
      </c>
      <c r="F26" s="5" t="s">
        <v>33</v>
      </c>
      <c r="G26" s="7"/>
    </row>
    <row r="27" customFormat="false" ht="18" hidden="false" customHeight="true" outlineLevel="0" collapsed="false">
      <c r="A27" s="13" t="n">
        <v>46155</v>
      </c>
      <c r="B27" s="4" t="s">
        <v>12</v>
      </c>
      <c r="C27" s="5" t="s">
        <v>41</v>
      </c>
      <c r="D27" s="6" t="n">
        <v>89.2</v>
      </c>
      <c r="E27" s="6" t="n">
        <v>7.92</v>
      </c>
      <c r="F27" s="5" t="s">
        <v>33</v>
      </c>
      <c r="G27" s="7"/>
    </row>
    <row r="28" customFormat="false" ht="18" hidden="false" customHeight="true" outlineLevel="0" collapsed="false">
      <c r="A28" s="13" t="n">
        <v>46154</v>
      </c>
      <c r="B28" s="4" t="s">
        <v>8</v>
      </c>
      <c r="C28" s="5"/>
      <c r="D28" s="14"/>
      <c r="E28" s="6" t="n">
        <v>28.8</v>
      </c>
      <c r="F28" s="5" t="s">
        <v>33</v>
      </c>
      <c r="G28" s="7"/>
    </row>
    <row r="29" customFormat="false" ht="18" hidden="false" customHeight="true" outlineLevel="0" collapsed="false">
      <c r="A29" s="13" t="n">
        <v>46154</v>
      </c>
      <c r="B29" s="4" t="s">
        <v>8</v>
      </c>
      <c r="C29" s="5"/>
      <c r="D29" s="14"/>
      <c r="E29" s="6" t="n">
        <v>24.57</v>
      </c>
      <c r="F29" s="5" t="s">
        <v>33</v>
      </c>
      <c r="G29" s="7"/>
    </row>
    <row r="30" customFormat="false" ht="18" hidden="false" customHeight="true" outlineLevel="0" collapsed="false">
      <c r="A30" s="13" t="n">
        <v>46153</v>
      </c>
      <c r="B30" s="4" t="s">
        <v>14</v>
      </c>
      <c r="C30" s="5" t="s">
        <v>42</v>
      </c>
      <c r="D30" s="6" t="n">
        <v>77.18</v>
      </c>
      <c r="E30" s="6" t="n">
        <v>0</v>
      </c>
      <c r="F30" s="5" t="s">
        <v>43</v>
      </c>
      <c r="G30" s="7" t="s">
        <v>44</v>
      </c>
    </row>
    <row r="31" customFormat="false" ht="18" hidden="false" customHeight="true" outlineLevel="0" collapsed="false">
      <c r="A31" s="13" t="n">
        <v>46153</v>
      </c>
      <c r="B31" s="4" t="s">
        <v>8</v>
      </c>
      <c r="C31" s="5"/>
      <c r="D31" s="14"/>
      <c r="E31" s="6" t="n">
        <v>0</v>
      </c>
      <c r="F31" s="5" t="s">
        <v>45</v>
      </c>
      <c r="G31" s="7"/>
    </row>
    <row r="32" customFormat="false" ht="18" hidden="false" customHeight="true" outlineLevel="0" collapsed="false">
      <c r="A32" s="13" t="n">
        <v>46152</v>
      </c>
      <c r="B32" s="4" t="s">
        <v>8</v>
      </c>
      <c r="C32" s="5"/>
      <c r="D32" s="14"/>
      <c r="E32" s="6" t="n">
        <v>2.52</v>
      </c>
      <c r="F32" s="5" t="s">
        <v>33</v>
      </c>
      <c r="G32" s="7"/>
    </row>
    <row r="33" customFormat="false" ht="18" hidden="false" customHeight="true" outlineLevel="0" collapsed="false">
      <c r="A33" s="13" t="n">
        <v>46152</v>
      </c>
      <c r="B33" s="4" t="s">
        <v>12</v>
      </c>
      <c r="C33" s="5" t="s">
        <v>46</v>
      </c>
      <c r="D33" s="6" t="n">
        <v>654</v>
      </c>
      <c r="E33" s="6" t="n">
        <v>65.4</v>
      </c>
      <c r="F33" s="5" t="s">
        <v>33</v>
      </c>
      <c r="G33" s="7"/>
    </row>
    <row r="34" customFormat="false" ht="18" hidden="false" customHeight="true" outlineLevel="0" collapsed="false">
      <c r="A34" s="13" t="n">
        <v>46150</v>
      </c>
      <c r="B34" s="4" t="s">
        <v>10</v>
      </c>
      <c r="C34" s="5"/>
      <c r="D34" s="14"/>
      <c r="E34" s="6" t="n">
        <v>27.31</v>
      </c>
      <c r="F34" s="5" t="s">
        <v>33</v>
      </c>
      <c r="G34" s="7"/>
    </row>
    <row r="35" customFormat="false" ht="18" hidden="false" customHeight="true" outlineLevel="0" collapsed="false">
      <c r="A35" s="13" t="n">
        <v>46132</v>
      </c>
      <c r="B35" s="4" t="s">
        <v>18</v>
      </c>
      <c r="C35" s="5"/>
      <c r="D35" s="6" t="n">
        <v>50.7</v>
      </c>
      <c r="E35" s="6" t="n">
        <v>3.38</v>
      </c>
      <c r="F35" s="5" t="s">
        <v>33</v>
      </c>
      <c r="G35" s="7"/>
    </row>
    <row r="36" customFormat="false" ht="18" hidden="false" customHeight="true" outlineLevel="0" collapsed="false">
      <c r="A36" s="13" t="n">
        <v>46111</v>
      </c>
      <c r="B36" s="4" t="s">
        <v>18</v>
      </c>
      <c r="C36" s="5"/>
      <c r="D36" s="6" t="n">
        <v>18.8</v>
      </c>
      <c r="E36" s="6" t="n">
        <v>0.19</v>
      </c>
      <c r="F36" s="5" t="s">
        <v>33</v>
      </c>
      <c r="G36" s="7"/>
    </row>
    <row r="37" customFormat="false" ht="18" hidden="false" customHeight="true" outlineLevel="0" collapsed="false">
      <c r="A37" s="13" t="n">
        <v>46108</v>
      </c>
      <c r="B37" s="4" t="s">
        <v>18</v>
      </c>
      <c r="C37" s="5"/>
      <c r="D37" s="6" t="n">
        <v>234.96</v>
      </c>
      <c r="E37" s="6" t="n">
        <v>22.7</v>
      </c>
      <c r="F37" s="5" t="s">
        <v>33</v>
      </c>
      <c r="G37" s="7"/>
    </row>
    <row r="38" customFormat="false" ht="18" hidden="false" customHeight="true" outlineLevel="0" collapsed="false">
      <c r="A38" s="13" t="n">
        <v>46102</v>
      </c>
      <c r="B38" s="4" t="s">
        <v>14</v>
      </c>
      <c r="C38" s="5" t="s">
        <v>47</v>
      </c>
      <c r="D38" s="6" t="n">
        <v>132</v>
      </c>
      <c r="E38" s="6" t="n">
        <v>11.7</v>
      </c>
      <c r="F38" s="5" t="s">
        <v>33</v>
      </c>
      <c r="G38" s="7"/>
    </row>
    <row r="39" customFormat="false" ht="18" hidden="false" customHeight="true" outlineLevel="0" collapsed="false">
      <c r="A39" s="13" t="n">
        <v>46102</v>
      </c>
      <c r="B39" s="4" t="s">
        <v>14</v>
      </c>
      <c r="C39" s="5" t="s">
        <v>48</v>
      </c>
      <c r="D39" s="6" t="n">
        <v>132</v>
      </c>
      <c r="E39" s="6" t="n">
        <v>0</v>
      </c>
      <c r="F39" s="5" t="s">
        <v>43</v>
      </c>
      <c r="G39" s="7" t="s">
        <v>49</v>
      </c>
    </row>
    <row r="40" customFormat="false" ht="18" hidden="false" customHeight="true" outlineLevel="0" collapsed="false">
      <c r="A40" s="13" t="n">
        <v>46102</v>
      </c>
      <c r="B40" s="4" t="s">
        <v>14</v>
      </c>
      <c r="C40" s="5" t="s">
        <v>50</v>
      </c>
      <c r="D40" s="6" t="n">
        <v>138.6</v>
      </c>
      <c r="E40" s="6" t="n">
        <v>0</v>
      </c>
      <c r="F40" s="5" t="s">
        <v>43</v>
      </c>
      <c r="G40" s="7" t="s">
        <v>49</v>
      </c>
    </row>
    <row r="41" customFormat="false" ht="18" hidden="false" customHeight="true" outlineLevel="0" collapsed="false">
      <c r="A41" s="13" t="n">
        <v>46102</v>
      </c>
      <c r="B41" s="4" t="s">
        <v>14</v>
      </c>
      <c r="C41" s="5" t="s">
        <v>51</v>
      </c>
      <c r="D41" s="6" t="n">
        <v>132</v>
      </c>
      <c r="E41" s="6" t="n">
        <v>0</v>
      </c>
      <c r="F41" s="5" t="s">
        <v>43</v>
      </c>
      <c r="G41" s="7" t="s">
        <v>49</v>
      </c>
    </row>
    <row r="42" customFormat="false" ht="18" hidden="false" customHeight="true" outlineLevel="0" collapsed="false">
      <c r="A42" s="13" t="n">
        <v>46098</v>
      </c>
      <c r="B42" s="4" t="s">
        <v>18</v>
      </c>
      <c r="C42" s="5"/>
      <c r="D42" s="6" t="n">
        <v>62</v>
      </c>
      <c r="E42" s="6" t="n">
        <v>4.32</v>
      </c>
      <c r="F42" s="5" t="s">
        <v>33</v>
      </c>
      <c r="G42" s="7"/>
    </row>
    <row r="43" customFormat="false" ht="18" hidden="false" customHeight="true" outlineLevel="0" collapsed="false">
      <c r="A43" s="13" t="n">
        <v>46087</v>
      </c>
      <c r="B43" s="4" t="s">
        <v>20</v>
      </c>
      <c r="C43" s="5"/>
      <c r="D43" s="14"/>
      <c r="E43" s="6" t="n">
        <v>15</v>
      </c>
      <c r="F43" s="5" t="s">
        <v>52</v>
      </c>
      <c r="G43" s="7"/>
    </row>
    <row r="44" customFormat="false" ht="18" hidden="false" customHeight="true" outlineLevel="0" collapsed="false">
      <c r="A44" s="13" t="n">
        <v>45990</v>
      </c>
      <c r="B44" s="4" t="s">
        <v>14</v>
      </c>
      <c r="C44" s="5" t="s">
        <v>53</v>
      </c>
      <c r="D44" s="6" t="n">
        <v>204</v>
      </c>
      <c r="E44" s="6" t="n">
        <v>0</v>
      </c>
      <c r="F44" s="5" t="s">
        <v>43</v>
      </c>
      <c r="G44" s="7" t="s">
        <v>54</v>
      </c>
    </row>
    <row r="45" customFormat="false" ht="18" hidden="false" customHeight="true" outlineLevel="0" collapsed="false">
      <c r="A45" s="13" t="n">
        <v>45979</v>
      </c>
      <c r="B45" s="4" t="s">
        <v>18</v>
      </c>
      <c r="C45" s="5"/>
      <c r="D45" s="6" t="n">
        <v>393.39</v>
      </c>
      <c r="E45" s="6" t="n">
        <v>38.07</v>
      </c>
      <c r="F45" s="5" t="s">
        <v>33</v>
      </c>
      <c r="G45" s="7"/>
    </row>
    <row r="46" customFormat="false" ht="18" hidden="false" customHeight="true" outlineLevel="0" collapsed="false">
      <c r="A46" s="13" t="n">
        <v>45962</v>
      </c>
      <c r="B46" s="4" t="s">
        <v>20</v>
      </c>
      <c r="C46" s="5"/>
      <c r="D46" s="14"/>
      <c r="E46" s="6" t="n">
        <v>29.7</v>
      </c>
      <c r="F46" s="5" t="s">
        <v>52</v>
      </c>
      <c r="G46" s="7"/>
    </row>
    <row r="47" customFormat="false" ht="18" hidden="false" customHeight="true" outlineLevel="0" collapsed="false">
      <c r="A47" s="9" t="s">
        <v>55</v>
      </c>
      <c r="B47" s="8" t="s">
        <v>56</v>
      </c>
      <c r="C47" s="15"/>
      <c r="D47" s="10" t="n">
        <f aca="false">SUM(D5:D46)</f>
        <v>4598.26</v>
      </c>
      <c r="E47" s="10" t="n">
        <f aca="false">SUM(E5:E46)</f>
        <v>1095.92</v>
      </c>
      <c r="F47" s="15"/>
      <c r="G47" s="15"/>
    </row>
  </sheetData>
  <autoFilter ref="A4:G46"/>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2026-05-18T11:19:36Z</dcterms:created>
  <dc:creator>openpyxl</dc:creator>
  <dc:description/>
  <dc:language>en-US</dc:language>
  <cp:lastModifiedBy/>
  <dcterms:modified xsi:type="dcterms:W3CDTF">2026-05-18T11:19:36Z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